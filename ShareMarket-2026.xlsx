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10_ncr:8100000_{746BA1BD-5117-46AB-8B2E-AA8881FF1C36}" xr6:coauthVersionLast="34" xr6:coauthVersionMax="34" xr10:uidLastSave="{00000000-0000-0000-0000-000000000000}"/>
  <bookViews>
    <workbookView xWindow="0" yWindow="0" windowWidth="23040" windowHeight="8952" activeTab="3" xr2:uid="{ED50D364-8611-4D83-A6B8-5F797ED4AD3A}"/>
  </bookViews>
  <sheets>
    <sheet name="SwingTrade" sheetId="1" r:id="rId1"/>
    <sheet name="Stock Movement" sheetId="2" r:id="rId2"/>
    <sheet name="Stock Investment" sheetId="3" r:id="rId3"/>
    <sheet name="Intraday" sheetId="4" r:id="rId4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7" i="1" l="1"/>
  <c r="I15" i="1"/>
  <c r="I11" i="1"/>
  <c r="I3" i="1"/>
  <c r="I13" i="1" l="1"/>
  <c r="J17" i="1" l="1"/>
  <c r="J15" i="1"/>
  <c r="J13" i="1" l="1"/>
  <c r="I7" i="1"/>
  <c r="J11" i="1"/>
  <c r="J7" i="1"/>
  <c r="J9" i="1" l="1"/>
  <c r="J5" i="1"/>
  <c r="J3" i="1" l="1"/>
</calcChain>
</file>

<file path=xl/sharedStrings.xml><?xml version="1.0" encoding="utf-8"?>
<sst xmlns="http://schemas.openxmlformats.org/spreadsheetml/2006/main" count="237" uniqueCount="71">
  <si>
    <t>S.NO</t>
  </si>
  <si>
    <t>STOCK NAME</t>
  </si>
  <si>
    <t>QUANTITY</t>
  </si>
  <si>
    <t>BUYING PRICE</t>
  </si>
  <si>
    <t>SOLD PRICE</t>
  </si>
  <si>
    <t>PROFIT/LOSS</t>
  </si>
  <si>
    <t>POWER GRID</t>
  </si>
  <si>
    <t>22/5/2025</t>
  </si>
  <si>
    <t>-</t>
  </si>
  <si>
    <t>P/L %</t>
  </si>
  <si>
    <t>STOCK MOVEMENT - 2025</t>
  </si>
  <si>
    <t>STOCK-NAME</t>
  </si>
  <si>
    <t>POWERGRID</t>
  </si>
  <si>
    <t>DATE</t>
  </si>
  <si>
    <t>CURRENT PRICE</t>
  </si>
  <si>
    <t>TATA MOTORS</t>
  </si>
  <si>
    <t>CANARA BANK</t>
  </si>
  <si>
    <t>MOTHERSON</t>
  </si>
  <si>
    <t>JSW INFRA</t>
  </si>
  <si>
    <t>BIOCON</t>
  </si>
  <si>
    <t>ZEEL</t>
  </si>
  <si>
    <t>ZYDUSLIFE SCIENCE</t>
  </si>
  <si>
    <t>RVNL</t>
  </si>
  <si>
    <t>JM FINANCIAL</t>
  </si>
  <si>
    <t>MANNAPURRAM</t>
  </si>
  <si>
    <t>LTF</t>
  </si>
  <si>
    <t>NTPC</t>
  </si>
  <si>
    <t>BPCL</t>
  </si>
  <si>
    <t>ETERNAL</t>
  </si>
  <si>
    <t>SJVN</t>
  </si>
  <si>
    <t>IEX</t>
  </si>
  <si>
    <t>PETRONET</t>
  </si>
  <si>
    <t>INDUS TOWER</t>
  </si>
  <si>
    <t>KNR CONST</t>
  </si>
  <si>
    <t>BEL</t>
  </si>
  <si>
    <t>KALYAN JEWELLERY</t>
  </si>
  <si>
    <t>Stock Name</t>
  </si>
  <si>
    <t>S.No</t>
  </si>
  <si>
    <t>Jio Finance</t>
  </si>
  <si>
    <t>(22-5-2025)</t>
  </si>
  <si>
    <t>Profit / Loss</t>
  </si>
  <si>
    <t>23/05/2025</t>
  </si>
  <si>
    <t>Intraday Stock Profit &amp; Loss Statment</t>
  </si>
  <si>
    <t>ITC</t>
  </si>
  <si>
    <t>23/5/2025</t>
  </si>
  <si>
    <t>KALYAN JEWELLS</t>
  </si>
  <si>
    <t>KNR CONSTRUCTION</t>
  </si>
  <si>
    <t>SOLD DATE</t>
  </si>
  <si>
    <t>BOUGHT DATE</t>
  </si>
  <si>
    <r>
      <t>STOCK MARKET P</t>
    </r>
    <r>
      <rPr>
        <b/>
        <i/>
        <sz val="16"/>
        <color rgb="FF002060"/>
        <rFont val="Calibri"/>
        <family val="2"/>
        <scheme val="minor"/>
      </rPr>
      <t>&amp;</t>
    </r>
    <r>
      <rPr>
        <b/>
        <i/>
        <sz val="16"/>
        <color rgb="FF002060"/>
        <rFont val="Adobe Garamond Pro Bold"/>
        <family val="1"/>
      </rPr>
      <t>L FOR SWING TRADING</t>
    </r>
  </si>
  <si>
    <t>23-05-2025</t>
  </si>
  <si>
    <t>UP/DOWN (%)</t>
  </si>
  <si>
    <t>26/05/2025</t>
  </si>
  <si>
    <t>Weekly Total</t>
  </si>
  <si>
    <t>27/05/2025</t>
  </si>
  <si>
    <t>EXIDE INDUSTRIES</t>
  </si>
  <si>
    <t>WIPRO</t>
  </si>
  <si>
    <t>GOLD BEES ETF</t>
  </si>
  <si>
    <t>27-05-2025</t>
  </si>
  <si>
    <t>27/5/2025</t>
  </si>
  <si>
    <t>LOSS= 13</t>
  </si>
  <si>
    <t>GAIN = 11</t>
  </si>
  <si>
    <t>28/05/2025</t>
  </si>
  <si>
    <t>INDUSIND BANK</t>
  </si>
  <si>
    <t>22/10/2024</t>
  </si>
  <si>
    <t xml:space="preserve">                                       Long Term Investment in Kotak Securites</t>
  </si>
  <si>
    <t>22/12/2025</t>
  </si>
  <si>
    <t>CASTROL INDIA</t>
  </si>
  <si>
    <t>23/12/2025</t>
  </si>
  <si>
    <t>24/12/2024</t>
  </si>
  <si>
    <t>24/12/2025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</si>
</sst>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4"/>
      <color rgb="FF0070C0"/>
      <name val="Adobe Heiti Std R"/>
      <family val="2"/>
      <charset val="128"/>
    </font>
    <font>
      <b/>
      <sz val="14"/>
      <color rgb="FFFF0000"/>
      <name val="Adobe Gothic Std B"/>
      <family val="2"/>
      <charset val="128"/>
    </font>
    <font>
      <sz val="16"/>
      <color rgb="FF002060"/>
      <name val="Adobe Garamond Pro Bold"/>
      <family val="1"/>
    </font>
    <font>
      <sz val="14"/>
      <color rgb="FF9C0006"/>
      <name val="Adobe Fangsong Std R"/>
      <family val="1"/>
      <charset val="128"/>
    </font>
    <font>
      <sz val="14"/>
      <color theme="1"/>
      <name val="Adobe Kaiti Std R"/>
      <family val="1"/>
      <charset val="128"/>
    </font>
    <font>
      <sz val="14"/>
      <color rgb="FFFF0000"/>
      <name val="Adobe Kaiti Std R"/>
      <family val="1"/>
      <charset val="128"/>
    </font>
    <font>
      <sz val="12"/>
      <color rgb="FFFF0000"/>
      <name val="Calibri"/>
      <family val="2"/>
      <scheme val="minor"/>
    </font>
    <font>
      <sz val="14"/>
      <color rgb="FF002060"/>
      <name val="Calibri"/>
      <family val="2"/>
      <scheme val="minor"/>
    </font>
    <font>
      <b/>
      <sz val="18"/>
      <color rgb="FFFF0000"/>
      <name val="Adobe Fangsong Std R"/>
      <family val="1"/>
      <charset val="128"/>
    </font>
    <font>
      <sz val="16"/>
      <color theme="1"/>
      <name val="Adobe Heiti Std R"/>
      <family val="2"/>
      <charset val="128"/>
    </font>
    <font>
      <sz val="14"/>
      <color rgb="FFFF0000"/>
      <name val="Adobe Fan Heiti Std B"/>
      <family val="2"/>
      <charset val="128"/>
    </font>
    <font>
      <b/>
      <i/>
      <sz val="16"/>
      <color rgb="FF002060"/>
      <name val="Adobe Garamond Pro Bold"/>
      <family val="1"/>
    </font>
    <font>
      <b/>
      <i/>
      <sz val="16"/>
      <color rgb="FF002060"/>
      <name val="Calibri"/>
      <family val="2"/>
      <scheme val="minor"/>
    </font>
    <font>
      <sz val="12"/>
      <color rgb="FF002060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4"/>
      <color rgb="FF00B0F0"/>
      <name val="Calibri"/>
      <family val="2"/>
      <scheme val="minor"/>
    </font>
    <font>
      <sz val="14"/>
      <color theme="1"/>
      <name val="Adobe Gothic Std B"/>
      <family val="2"/>
      <charset val="128"/>
    </font>
    <font>
      <sz val="14"/>
      <color rgb="FFC00000"/>
      <name val="Adobe Heiti Std R"/>
      <family val="2"/>
      <charset val="128"/>
    </font>
    <font>
      <sz val="14"/>
      <color rgb="FFFFC000"/>
      <name val="Adobe Heiti Std R"/>
      <family val="2"/>
      <charset val="128"/>
    </font>
    <font>
      <sz val="11"/>
      <color rgb="FFFFC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C00000"/>
      <name val="Calibri"/>
      <family val="2"/>
      <scheme val="minor"/>
    </font>
    <font>
      <sz val="14"/>
      <color rgb="FF006100"/>
      <name val="Adobe Fan Heiti Std B"/>
      <family val="2"/>
      <charset val="128"/>
    </font>
    <font>
      <sz val="14"/>
      <color rgb="FF9C0006"/>
      <name val="Adobe Fan Heiti Std B"/>
      <family val="2"/>
      <charset val="128"/>
    </font>
    <font>
      <sz val="14"/>
      <color rgb="FFFF0000"/>
      <name val="Adobe Heiti Std R"/>
      <family val="2"/>
      <charset val="128"/>
    </font>
    <font>
      <sz val="22"/>
      <color rgb="FF006100"/>
      <name val="Adobe Caslon Pro Bold"/>
      <family val="1"/>
    </font>
    <font>
      <sz val="14"/>
      <color theme="1"/>
      <name val="Adobe Heiti Std R"/>
      <family val="2"/>
      <charset val="128"/>
    </font>
    <font>
      <sz val="14"/>
      <color rgb="FF00B050"/>
      <name val="Adobe Gothic Std B"/>
      <family val="2"/>
      <charset val="128"/>
    </font>
    <font>
      <sz val="16"/>
      <color rgb="FF002060"/>
      <name val="Times New Roman"/>
      <family val="1"/>
    </font>
    <font>
      <sz val="16"/>
      <color rgb="FF006100"/>
      <name val="Times New Roman"/>
      <family val="1"/>
    </font>
    <font>
      <sz val="18"/>
      <color rgb="FF00B050"/>
      <name val="Times New Roman"/>
      <family val="1"/>
    </font>
    <font>
      <sz val="18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41">
    <xf numFmtId="0" fontId="0" fillId="0" borderId="0" xfId="0"/>
    <xf numFmtId="0" fontId="4" fillId="2" borderId="0" xfId="1" applyFont="1"/>
    <xf numFmtId="0" fontId="5" fillId="4" borderId="0" xfId="3" applyFont="1"/>
    <xf numFmtId="0" fontId="7" fillId="3" borderId="0" xfId="2" applyFont="1"/>
    <xf numFmtId="0" fontId="8" fillId="0" borderId="0" xfId="0" applyFont="1"/>
    <xf numFmtId="0" fontId="9" fillId="0" borderId="0" xfId="0" applyFont="1"/>
    <xf numFmtId="0" fontId="10" fillId="4" borderId="0" xfId="3" applyFont="1"/>
    <xf numFmtId="10" fontId="10" fillId="4" borderId="0" xfId="3" applyNumberFormat="1" applyFont="1"/>
    <xf numFmtId="2" fontId="10" fillId="4" borderId="0" xfId="3" applyNumberFormat="1" applyFont="1"/>
    <xf numFmtId="0" fontId="11" fillId="0" borderId="0" xfId="0" applyFont="1"/>
    <xf numFmtId="0" fontId="13" fillId="0" borderId="0" xfId="0" applyFont="1"/>
    <xf numFmtId="0" fontId="14" fillId="2" borderId="0" xfId="1" applyFont="1"/>
    <xf numFmtId="0" fontId="15" fillId="3" borderId="0" xfId="2" applyFont="1" applyAlignment="1">
      <alignment horizontal="left"/>
    </xf>
    <xf numFmtId="10" fontId="17" fillId="4" borderId="0" xfId="3" applyNumberFormat="1" applyFont="1"/>
    <xf numFmtId="0" fontId="17" fillId="4" borderId="0" xfId="3" applyFont="1"/>
    <xf numFmtId="2" fontId="17" fillId="4" borderId="0" xfId="3" applyNumberFormat="1" applyFont="1"/>
    <xf numFmtId="0" fontId="18" fillId="0" borderId="0" xfId="0" applyFont="1"/>
    <xf numFmtId="0" fontId="19" fillId="4" borderId="0" xfId="3" applyFont="1"/>
    <xf numFmtId="0" fontId="20" fillId="0" borderId="0" xfId="0" applyFont="1"/>
    <xf numFmtId="0" fontId="21" fillId="2" borderId="0" xfId="1" applyFont="1"/>
    <xf numFmtId="0" fontId="22" fillId="2" borderId="0" xfId="1" applyFont="1"/>
    <xf numFmtId="0" fontId="23" fillId="0" borderId="0" xfId="0" applyFont="1"/>
    <xf numFmtId="0" fontId="25" fillId="4" borderId="0" xfId="3" applyFont="1"/>
    <xf numFmtId="10" fontId="25" fillId="4" borderId="0" xfId="3" applyNumberFormat="1" applyFont="1"/>
    <xf numFmtId="2" fontId="25" fillId="4" borderId="0" xfId="3" applyNumberFormat="1" applyFont="1"/>
    <xf numFmtId="0" fontId="24" fillId="0" borderId="0" xfId="0" applyFont="1"/>
    <xf numFmtId="0" fontId="26" fillId="2" borderId="0" xfId="1" applyFont="1"/>
    <xf numFmtId="0" fontId="27" fillId="3" borderId="0" xfId="2" applyFont="1"/>
    <xf numFmtId="0" fontId="28" fillId="2" borderId="0" xfId="1" applyFont="1"/>
    <xf numFmtId="2" fontId="28" fillId="2" borderId="0" xfId="1" applyNumberFormat="1" applyFont="1"/>
    <xf numFmtId="2" fontId="4" fillId="2" borderId="0" xfId="1" applyNumberFormat="1" applyFont="1"/>
    <xf numFmtId="0" fontId="30" fillId="2" borderId="0" xfId="1" applyFont="1"/>
    <xf numFmtId="0" fontId="6" fillId="2" borderId="0" xfId="1" applyFont="1" applyAlignment="1">
      <alignment horizontal="center"/>
    </xf>
    <xf numFmtId="0" fontId="29" fillId="2" borderId="0" xfId="1" applyFont="1" applyAlignment="1">
      <alignment horizontal="left"/>
    </xf>
    <xf numFmtId="0" fontId="12" fillId="2" borderId="0" xfId="1" applyFont="1" applyAlignment="1">
      <alignment horizontal="center"/>
    </xf>
    <xf numFmtId="0" fontId="1" fillId="2" borderId="0" xfId="1" applyAlignment="1">
      <alignment horizontal="center"/>
    </xf>
    <xf numFmtId="0" fontId="31" fillId="0" borderId="0" xfId="0" applyFont="1"/>
    <xf numFmtId="0" fontId="32" fillId="2" borderId="0" xfId="1" applyFont="1"/>
    <xf numFmtId="0" fontId="33" fillId="2" borderId="0" xfId="1" applyFont="1"/>
    <xf numFmtId="0" fontId="34" fillId="2" borderId="0" xfId="1" applyFont="1"/>
    <xf numFmtId="0" fontId="35" fillId="2" borderId="0" xfId="1" applyFont="1"/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22929-CED8-460D-A739-4D4FF11A915D}">
  <dimension ref="B1:K35"/>
  <sheetViews>
    <sheetView workbookViewId="0">
      <pane ySplit="1" topLeftCell="A8" activePane="bottomLeft" state="frozen"/>
      <selection activeCell="B1" sqref="B1"/>
      <selection pane="bottomLeft" activeCell="I20" sqref="I20"/>
    </sheetView>
  </sheetViews>
  <sheetFormatPr defaultRowHeight="14.4" x14ac:dyDescent="0.3"/>
  <cols>
    <col min="1" max="1" width="12.44140625" customWidth="1"/>
    <col min="2" max="2" width="7.21875" customWidth="1"/>
    <col min="3" max="3" width="28.21875" customWidth="1"/>
    <col min="4" max="4" width="13.21875" customWidth="1"/>
    <col min="5" max="5" width="18.21875" customWidth="1"/>
    <col min="6" max="6" width="15.5546875" customWidth="1"/>
    <col min="7" max="7" width="18.33203125" customWidth="1"/>
    <col min="8" max="8" width="15" customWidth="1"/>
    <col min="9" max="9" width="16.88671875" customWidth="1"/>
    <col min="10" max="10" width="13.88671875" customWidth="1"/>
    <col min="11" max="11" width="61.88671875" customWidth="1"/>
    <col min="12" max="12" width="14.77734375" customWidth="1"/>
    <col min="13" max="13" width="17.6640625" customWidth="1"/>
  </cols>
  <sheetData>
    <row r="1" spans="2:11" ht="21.6" x14ac:dyDescent="0.45">
      <c r="B1" s="2" t="s">
        <v>0</v>
      </c>
      <c r="C1" s="2" t="s">
        <v>1</v>
      </c>
      <c r="D1" s="2" t="s">
        <v>2</v>
      </c>
      <c r="E1" s="2" t="s">
        <v>48</v>
      </c>
      <c r="F1" s="2" t="s">
        <v>47</v>
      </c>
      <c r="G1" s="2" t="s">
        <v>3</v>
      </c>
      <c r="H1" s="2" t="s">
        <v>4</v>
      </c>
      <c r="I1" s="2" t="s">
        <v>5</v>
      </c>
      <c r="J1" s="2" t="s">
        <v>9</v>
      </c>
      <c r="K1" s="12" t="s">
        <v>49</v>
      </c>
    </row>
    <row r="2" spans="2:11" ht="40.049999999999997" customHeight="1" x14ac:dyDescent="0.3"/>
    <row r="3" spans="2:11" ht="19.95" customHeight="1" x14ac:dyDescent="0.4">
      <c r="B3" s="1">
        <v>1</v>
      </c>
      <c r="C3" s="1" t="s">
        <v>6</v>
      </c>
      <c r="D3" s="1">
        <v>40</v>
      </c>
      <c r="E3" s="1" t="s">
        <v>7</v>
      </c>
      <c r="F3" s="1" t="s">
        <v>8</v>
      </c>
      <c r="G3" s="1">
        <v>287.7</v>
      </c>
      <c r="H3" s="1">
        <v>292.75</v>
      </c>
      <c r="I3" s="1">
        <f t="shared" ref="I3" si="0">SUM(H3-G3)*D3</f>
        <v>202.00000000000045</v>
      </c>
      <c r="J3" s="1">
        <f>((H3-G3)/(G3)*100)</f>
        <v>1.7553006604101535</v>
      </c>
    </row>
    <row r="4" spans="2:11" ht="19.95" customHeight="1" x14ac:dyDescent="0.4">
      <c r="I4" s="19"/>
    </row>
    <row r="5" spans="2:11" ht="19.95" customHeight="1" x14ac:dyDescent="0.4">
      <c r="B5" s="1">
        <v>2</v>
      </c>
      <c r="C5" s="1" t="s">
        <v>43</v>
      </c>
      <c r="D5" s="1">
        <v>70</v>
      </c>
      <c r="E5" s="1" t="s">
        <v>44</v>
      </c>
      <c r="F5" s="1" t="s">
        <v>8</v>
      </c>
      <c r="G5" s="1">
        <v>432.95</v>
      </c>
      <c r="H5" s="1">
        <v>0</v>
      </c>
      <c r="I5" s="19"/>
      <c r="J5" s="1">
        <f>((H5-G5)/(G5)*100)</f>
        <v>-100</v>
      </c>
    </row>
    <row r="6" spans="2:11" ht="25.05" customHeight="1" x14ac:dyDescent="0.4">
      <c r="I6" s="19"/>
    </row>
    <row r="7" spans="2:11" ht="25.05" customHeight="1" x14ac:dyDescent="0.4">
      <c r="B7" s="1">
        <v>3</v>
      </c>
      <c r="C7" s="1" t="s">
        <v>45</v>
      </c>
      <c r="D7" s="1">
        <v>15</v>
      </c>
      <c r="E7" s="1" t="s">
        <v>44</v>
      </c>
      <c r="F7" s="1" t="s">
        <v>59</v>
      </c>
      <c r="G7" s="1">
        <v>550.04999999999995</v>
      </c>
      <c r="H7" s="1">
        <v>573.04999999999995</v>
      </c>
      <c r="I7" s="1">
        <f>SUM(H7-G7)*D7</f>
        <v>345</v>
      </c>
      <c r="J7" s="1">
        <f>((H7-G7)/(G7)*100)</f>
        <v>4.181438051086265</v>
      </c>
    </row>
    <row r="8" spans="2:11" ht="25.05" customHeight="1" x14ac:dyDescent="0.4">
      <c r="I8" s="19"/>
    </row>
    <row r="9" spans="2:11" ht="25.05" customHeight="1" x14ac:dyDescent="0.4">
      <c r="B9" s="1">
        <v>4</v>
      </c>
      <c r="C9" s="1" t="s">
        <v>46</v>
      </c>
      <c r="D9" s="1">
        <v>50</v>
      </c>
      <c r="E9" s="1" t="s">
        <v>41</v>
      </c>
      <c r="F9" s="1" t="s">
        <v>8</v>
      </c>
      <c r="G9" s="1">
        <v>221.64</v>
      </c>
      <c r="H9" s="1">
        <v>0</v>
      </c>
      <c r="I9" s="19"/>
      <c r="J9" s="1">
        <f>((H9-G9)/(G9)*100)</f>
        <v>-100</v>
      </c>
    </row>
    <row r="10" spans="2:11" ht="25.05" customHeight="1" x14ac:dyDescent="0.4">
      <c r="I10" s="19"/>
    </row>
    <row r="11" spans="2:11" ht="25.05" customHeight="1" x14ac:dyDescent="0.4">
      <c r="B11" s="1">
        <v>5</v>
      </c>
      <c r="C11" s="1" t="s">
        <v>28</v>
      </c>
      <c r="D11" s="1">
        <v>40</v>
      </c>
      <c r="E11" s="1" t="s">
        <v>52</v>
      </c>
      <c r="F11" s="1" t="s">
        <v>8</v>
      </c>
      <c r="G11" s="30">
        <v>229.1</v>
      </c>
      <c r="H11" s="1">
        <v>229.64</v>
      </c>
      <c r="I11" s="1">
        <f t="shared" ref="I11:I17" si="1">SUM(H11-G11)*D11</f>
        <v>21.599999999999682</v>
      </c>
      <c r="J11" s="1">
        <f>((H11-G11)/(G11)*100)</f>
        <v>0.23570493234395112</v>
      </c>
    </row>
    <row r="12" spans="2:11" ht="25.05" customHeight="1" x14ac:dyDescent="0.4">
      <c r="I12" s="19"/>
    </row>
    <row r="13" spans="2:11" ht="25.05" customHeight="1" x14ac:dyDescent="0.4">
      <c r="B13" s="1">
        <v>6</v>
      </c>
      <c r="C13" s="1" t="s">
        <v>30</v>
      </c>
      <c r="D13" s="1">
        <v>50</v>
      </c>
      <c r="E13" s="1" t="s">
        <v>54</v>
      </c>
      <c r="F13" s="1" t="s">
        <v>8</v>
      </c>
      <c r="G13" s="1">
        <v>196.85</v>
      </c>
      <c r="H13" s="1">
        <v>199.5</v>
      </c>
      <c r="I13" s="1">
        <f t="shared" si="1"/>
        <v>132.50000000000028</v>
      </c>
      <c r="J13" s="1">
        <f>((H13-G13)/(G13)*100)</f>
        <v>1.3462026924053876</v>
      </c>
    </row>
    <row r="14" spans="2:11" ht="25.05" customHeight="1" x14ac:dyDescent="0.4">
      <c r="I14" s="19"/>
    </row>
    <row r="15" spans="2:11" ht="25.05" customHeight="1" x14ac:dyDescent="0.4">
      <c r="B15" s="1">
        <v>7</v>
      </c>
      <c r="C15" s="1" t="s">
        <v>15</v>
      </c>
      <c r="D15" s="1">
        <v>40</v>
      </c>
      <c r="E15" s="1" t="s">
        <v>62</v>
      </c>
      <c r="F15" s="1" t="s">
        <v>8</v>
      </c>
      <c r="G15" s="30">
        <v>720.3</v>
      </c>
      <c r="H15" s="1">
        <v>725</v>
      </c>
      <c r="I15" s="1">
        <f t="shared" si="1"/>
        <v>188.00000000000182</v>
      </c>
      <c r="J15" s="1">
        <f>((H15-G15)/(G15)*100)</f>
        <v>0.65250590031931777</v>
      </c>
    </row>
    <row r="16" spans="2:11" ht="25.05" customHeight="1" x14ac:dyDescent="0.4">
      <c r="I16" s="19"/>
    </row>
    <row r="17" spans="2:10" ht="25.05" customHeight="1" x14ac:dyDescent="0.4">
      <c r="B17" s="1">
        <v>8</v>
      </c>
      <c r="C17" s="1" t="s">
        <v>63</v>
      </c>
      <c r="D17" s="1">
        <v>15</v>
      </c>
      <c r="E17" s="1" t="s">
        <v>62</v>
      </c>
      <c r="F17" s="1" t="s">
        <v>8</v>
      </c>
      <c r="G17" s="1">
        <v>811.45</v>
      </c>
      <c r="H17" s="1">
        <v>819.55</v>
      </c>
      <c r="I17" s="1">
        <f t="shared" si="1"/>
        <v>121.49999999999864</v>
      </c>
      <c r="J17" s="1">
        <f>((H17-G17)/(G17)*100)</f>
        <v>0.99821307535891413</v>
      </c>
    </row>
    <row r="18" spans="2:10" ht="25.05" customHeight="1" x14ac:dyDescent="0.3"/>
    <row r="19" spans="2:10" ht="25.05" customHeight="1" x14ac:dyDescent="0.4">
      <c r="B19" s="31">
        <v>9</v>
      </c>
      <c r="C19" s="31" t="s">
        <v>28</v>
      </c>
      <c r="D19" s="31">
        <v>40</v>
      </c>
      <c r="E19" s="31" t="s">
        <v>66</v>
      </c>
      <c r="F19" s="31" t="s">
        <v>8</v>
      </c>
      <c r="G19" s="31">
        <v>286.35000000000002</v>
      </c>
      <c r="H19" s="1"/>
      <c r="I19" s="19"/>
      <c r="J19" s="1"/>
    </row>
    <row r="20" spans="2:10" ht="25.05" customHeight="1" x14ac:dyDescent="0.3"/>
    <row r="21" spans="2:10" ht="25.05" customHeight="1" x14ac:dyDescent="0.4">
      <c r="B21" s="31">
        <v>10</v>
      </c>
      <c r="C21" s="31" t="s">
        <v>67</v>
      </c>
      <c r="D21" s="31">
        <v>50</v>
      </c>
      <c r="E21" s="31" t="s">
        <v>68</v>
      </c>
      <c r="F21" s="31" t="s">
        <v>8</v>
      </c>
      <c r="G21" s="31">
        <v>186.11</v>
      </c>
    </row>
    <row r="22" spans="2:10" ht="25.05" customHeight="1" x14ac:dyDescent="0.3"/>
    <row r="23" spans="2:10" ht="25.05" customHeight="1" x14ac:dyDescent="0.3"/>
    <row r="24" spans="2:10" ht="25.05" customHeight="1" x14ac:dyDescent="0.3"/>
    <row r="25" spans="2:10" ht="25.05" customHeight="1" x14ac:dyDescent="0.3"/>
    <row r="26" spans="2:10" ht="25.05" customHeight="1" x14ac:dyDescent="0.3"/>
    <row r="27" spans="2:10" ht="25.05" customHeight="1" x14ac:dyDescent="0.3"/>
    <row r="28" spans="2:10" ht="25.05" customHeight="1" x14ac:dyDescent="0.3"/>
    <row r="29" spans="2:10" ht="25.05" customHeight="1" x14ac:dyDescent="0.3"/>
    <row r="30" spans="2:10" ht="25.05" customHeight="1" x14ac:dyDescent="0.3"/>
    <row r="31" spans="2:10" ht="25.05" customHeight="1" x14ac:dyDescent="0.3"/>
    <row r="32" spans="2:10" ht="25.05" customHeight="1" x14ac:dyDescent="0.3"/>
    <row r="33" ht="25.05" customHeight="1" x14ac:dyDescent="0.3"/>
    <row r="34" ht="25.05" customHeight="1" x14ac:dyDescent="0.3"/>
    <row r="35" ht="25.05" customHeight="1" x14ac:dyDescent="0.3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6CADB-CBB6-48D4-B29F-A5929008823A}">
  <dimension ref="A1:P77"/>
  <sheetViews>
    <sheetView workbookViewId="0">
      <pane ySplit="1" topLeftCell="A60" activePane="bottomLeft" state="frozen"/>
      <selection pane="bottomLeft" activeCell="C78" sqref="C78"/>
    </sheetView>
  </sheetViews>
  <sheetFormatPr defaultRowHeight="14.4" x14ac:dyDescent="0.3"/>
  <cols>
    <col min="2" max="2" width="20.44140625" customWidth="1"/>
    <col min="3" max="3" width="14.21875" customWidth="1"/>
    <col min="4" max="4" width="18.6640625" customWidth="1"/>
    <col min="5" max="5" width="21.77734375" customWidth="1"/>
    <col min="6" max="6" width="14.33203125" customWidth="1"/>
    <col min="7" max="7" width="21.21875" customWidth="1"/>
  </cols>
  <sheetData>
    <row r="1" spans="1:5" ht="18" x14ac:dyDescent="0.35">
      <c r="A1" s="3" t="s">
        <v>0</v>
      </c>
      <c r="B1" s="3" t="s">
        <v>11</v>
      </c>
      <c r="C1" s="3" t="s">
        <v>13</v>
      </c>
      <c r="D1" s="3" t="s">
        <v>51</v>
      </c>
      <c r="E1" s="3" t="s">
        <v>14</v>
      </c>
    </row>
    <row r="2" spans="1:5" ht="18" x14ac:dyDescent="0.35">
      <c r="B2" s="9"/>
      <c r="C2" s="9" t="s">
        <v>39</v>
      </c>
    </row>
    <row r="3" spans="1:5" ht="15.6" x14ac:dyDescent="0.3">
      <c r="A3" s="6">
        <v>1</v>
      </c>
      <c r="B3" s="6" t="s">
        <v>12</v>
      </c>
      <c r="C3" s="6" t="s">
        <v>7</v>
      </c>
      <c r="D3" s="7">
        <v>-1.77E-2</v>
      </c>
      <c r="E3" s="8">
        <v>290.89999999999998</v>
      </c>
    </row>
    <row r="4" spans="1:5" ht="15.6" x14ac:dyDescent="0.3">
      <c r="A4" s="6">
        <v>2</v>
      </c>
      <c r="B4" s="6" t="s">
        <v>16</v>
      </c>
      <c r="C4" s="6" t="s">
        <v>7</v>
      </c>
      <c r="D4" s="7">
        <v>-9.1999999999999998E-3</v>
      </c>
      <c r="E4" s="8">
        <v>106.84</v>
      </c>
    </row>
    <row r="5" spans="1:5" ht="15.6" x14ac:dyDescent="0.3">
      <c r="A5" s="6">
        <v>3</v>
      </c>
      <c r="B5" s="6" t="s">
        <v>15</v>
      </c>
      <c r="C5" s="6" t="s">
        <v>7</v>
      </c>
      <c r="D5" s="7">
        <v>-1.2800000000000001E-2</v>
      </c>
      <c r="E5" s="8">
        <v>717.45</v>
      </c>
    </row>
    <row r="6" spans="1:5" ht="15.6" x14ac:dyDescent="0.3">
      <c r="A6" s="6">
        <v>4</v>
      </c>
      <c r="B6" s="6" t="s">
        <v>17</v>
      </c>
      <c r="C6" s="6" t="s">
        <v>7</v>
      </c>
      <c r="D6" s="7">
        <v>-2.0000000000000001E-4</v>
      </c>
      <c r="E6" s="8">
        <v>148.19999999999999</v>
      </c>
    </row>
    <row r="7" spans="1:5" ht="15.6" x14ac:dyDescent="0.3">
      <c r="A7" s="6">
        <v>5</v>
      </c>
      <c r="B7" s="6" t="s">
        <v>18</v>
      </c>
      <c r="C7" s="6" t="s">
        <v>7</v>
      </c>
      <c r="D7" s="7">
        <v>1.46E-2</v>
      </c>
      <c r="E7" s="8">
        <v>288.3</v>
      </c>
    </row>
    <row r="8" spans="1:5" ht="15.6" x14ac:dyDescent="0.3">
      <c r="A8" s="6">
        <v>6</v>
      </c>
      <c r="B8" s="6" t="s">
        <v>19</v>
      </c>
      <c r="C8" s="6" t="s">
        <v>7</v>
      </c>
      <c r="D8" s="7">
        <v>-2.1100000000000001E-2</v>
      </c>
      <c r="E8" s="8">
        <v>333.45</v>
      </c>
    </row>
    <row r="9" spans="1:5" ht="15.6" x14ac:dyDescent="0.3">
      <c r="A9" s="6">
        <v>7</v>
      </c>
      <c r="B9" s="6" t="s">
        <v>20</v>
      </c>
      <c r="C9" s="6" t="s">
        <v>7</v>
      </c>
      <c r="D9" s="7">
        <v>2.6100000000000002E-2</v>
      </c>
      <c r="E9" s="8">
        <v>127.29</v>
      </c>
    </row>
    <row r="10" spans="1:5" ht="15.6" x14ac:dyDescent="0.3">
      <c r="A10" s="6">
        <v>8</v>
      </c>
      <c r="B10" s="6" t="s">
        <v>21</v>
      </c>
      <c r="C10" s="6" t="s">
        <v>7</v>
      </c>
      <c r="D10" s="7">
        <v>1.55E-2</v>
      </c>
      <c r="E10" s="8">
        <v>903.45</v>
      </c>
    </row>
    <row r="11" spans="1:5" ht="15.6" x14ac:dyDescent="0.3">
      <c r="A11" s="6">
        <v>9</v>
      </c>
      <c r="B11" s="6" t="s">
        <v>22</v>
      </c>
      <c r="C11" s="6" t="s">
        <v>7</v>
      </c>
      <c r="D11" s="7">
        <v>-1.83E-2</v>
      </c>
      <c r="E11" s="8">
        <v>404.5</v>
      </c>
    </row>
    <row r="12" spans="1:5" ht="15.6" x14ac:dyDescent="0.3">
      <c r="A12" s="6">
        <v>10</v>
      </c>
      <c r="B12" s="6" t="s">
        <v>23</v>
      </c>
      <c r="C12" s="6" t="s">
        <v>7</v>
      </c>
      <c r="D12" s="7">
        <v>1.95E-2</v>
      </c>
      <c r="E12" s="8">
        <v>123.8</v>
      </c>
    </row>
    <row r="13" spans="1:5" ht="15.6" x14ac:dyDescent="0.3">
      <c r="A13" s="6">
        <v>11</v>
      </c>
      <c r="B13" s="6" t="s">
        <v>24</v>
      </c>
      <c r="C13" s="6" t="s">
        <v>7</v>
      </c>
      <c r="D13" s="7">
        <v>7.0000000000000001E-3</v>
      </c>
      <c r="E13" s="8">
        <v>229.66</v>
      </c>
    </row>
    <row r="14" spans="1:5" ht="15.6" x14ac:dyDescent="0.3">
      <c r="A14" s="6">
        <v>12</v>
      </c>
      <c r="B14" s="6" t="s">
        <v>25</v>
      </c>
      <c r="C14" s="6" t="s">
        <v>7</v>
      </c>
      <c r="D14" s="7">
        <v>6.9999999999999999E-4</v>
      </c>
      <c r="E14" s="8">
        <v>173.71</v>
      </c>
    </row>
    <row r="15" spans="1:5" ht="15.6" x14ac:dyDescent="0.3">
      <c r="A15" s="6">
        <v>13</v>
      </c>
      <c r="B15" s="6" t="s">
        <v>26</v>
      </c>
      <c r="C15" s="6" t="s">
        <v>7</v>
      </c>
      <c r="D15" s="7">
        <v>-1.37E-2</v>
      </c>
      <c r="E15" s="8">
        <v>341.4</v>
      </c>
    </row>
    <row r="16" spans="1:5" ht="15.6" x14ac:dyDescent="0.3">
      <c r="A16" s="6">
        <v>14</v>
      </c>
      <c r="B16" s="6" t="s">
        <v>27</v>
      </c>
      <c r="C16" s="6" t="s">
        <v>7</v>
      </c>
      <c r="D16" s="7">
        <v>-8.8000000000000005E-3</v>
      </c>
      <c r="E16" s="8">
        <v>313.05</v>
      </c>
    </row>
    <row r="17" spans="1:16" ht="15.6" x14ac:dyDescent="0.3">
      <c r="A17" s="6">
        <v>15</v>
      </c>
      <c r="B17" s="6" t="s">
        <v>28</v>
      </c>
      <c r="C17" s="6" t="s">
        <v>7</v>
      </c>
      <c r="D17" s="7">
        <v>-4.1000000000000003E-3</v>
      </c>
      <c r="E17" s="8">
        <v>229.02</v>
      </c>
      <c r="L17" s="32" t="s">
        <v>10</v>
      </c>
      <c r="M17" s="32"/>
      <c r="N17" s="32"/>
      <c r="O17" s="32"/>
      <c r="P17" s="32"/>
    </row>
    <row r="18" spans="1:16" ht="15.6" x14ac:dyDescent="0.3">
      <c r="A18" s="6">
        <v>16</v>
      </c>
      <c r="B18" s="6" t="s">
        <v>29</v>
      </c>
      <c r="C18" s="6" t="s">
        <v>7</v>
      </c>
      <c r="D18" s="7">
        <v>0</v>
      </c>
      <c r="E18" s="8">
        <v>101.04</v>
      </c>
      <c r="L18" s="32"/>
      <c r="M18" s="32"/>
      <c r="N18" s="32"/>
      <c r="O18" s="32"/>
      <c r="P18" s="32"/>
    </row>
    <row r="19" spans="1:16" ht="15.6" x14ac:dyDescent="0.3">
      <c r="A19" s="6">
        <v>17</v>
      </c>
      <c r="B19" s="6" t="s">
        <v>30</v>
      </c>
      <c r="C19" s="6" t="s">
        <v>7</v>
      </c>
      <c r="D19" s="7">
        <v>-2.18E-2</v>
      </c>
      <c r="E19" s="8">
        <v>194.83</v>
      </c>
    </row>
    <row r="20" spans="1:16" ht="15.6" x14ac:dyDescent="0.3">
      <c r="A20" s="6">
        <v>18</v>
      </c>
      <c r="B20" s="6" t="s">
        <v>31</v>
      </c>
      <c r="C20" s="6" t="s">
        <v>7</v>
      </c>
      <c r="D20" s="7">
        <v>-4.5999999999999999E-3</v>
      </c>
      <c r="E20" s="8">
        <v>320.25</v>
      </c>
    </row>
    <row r="21" spans="1:16" ht="15.6" x14ac:dyDescent="0.3">
      <c r="A21" s="6">
        <v>19</v>
      </c>
      <c r="B21" s="6" t="s">
        <v>32</v>
      </c>
      <c r="C21" s="6" t="s">
        <v>7</v>
      </c>
      <c r="D21" s="7">
        <v>-1.03E-2</v>
      </c>
      <c r="E21" s="8">
        <v>383.95</v>
      </c>
    </row>
    <row r="22" spans="1:16" ht="15.6" x14ac:dyDescent="0.3">
      <c r="A22" s="6">
        <v>20</v>
      </c>
      <c r="B22" s="6" t="s">
        <v>33</v>
      </c>
      <c r="C22" s="6" t="s">
        <v>7</v>
      </c>
      <c r="D22" s="7">
        <v>-1.84E-2</v>
      </c>
      <c r="E22" s="8">
        <v>230.48</v>
      </c>
    </row>
    <row r="23" spans="1:16" ht="15.6" x14ac:dyDescent="0.3">
      <c r="A23" s="6">
        <v>21</v>
      </c>
      <c r="B23" s="6" t="s">
        <v>34</v>
      </c>
      <c r="C23" s="6" t="s">
        <v>7</v>
      </c>
      <c r="D23" s="7">
        <v>1E-3</v>
      </c>
      <c r="E23" s="8">
        <v>383.4</v>
      </c>
    </row>
    <row r="24" spans="1:16" ht="15.6" x14ac:dyDescent="0.3">
      <c r="A24" s="6">
        <v>22</v>
      </c>
      <c r="B24" s="6" t="s">
        <v>35</v>
      </c>
      <c r="C24" s="6" t="s">
        <v>7</v>
      </c>
      <c r="D24" s="7">
        <v>3.8999999999999998E-3</v>
      </c>
      <c r="E24" s="8">
        <v>554.25</v>
      </c>
    </row>
    <row r="25" spans="1:16" ht="15.6" x14ac:dyDescent="0.3">
      <c r="A25" s="6">
        <v>23</v>
      </c>
      <c r="B25" s="6" t="s">
        <v>38</v>
      </c>
      <c r="C25" s="6" t="s">
        <v>7</v>
      </c>
      <c r="D25" s="7">
        <v>8.9999999999999998E-4</v>
      </c>
      <c r="E25" s="8">
        <v>275</v>
      </c>
    </row>
    <row r="27" spans="1:16" ht="18" x14ac:dyDescent="0.35">
      <c r="C27" s="17" t="s">
        <v>50</v>
      </c>
    </row>
    <row r="28" spans="1:16" ht="15.6" x14ac:dyDescent="0.3">
      <c r="A28" s="6">
        <v>1</v>
      </c>
      <c r="B28" s="6" t="s">
        <v>12</v>
      </c>
      <c r="C28" s="6" t="s">
        <v>44</v>
      </c>
      <c r="D28" s="7">
        <v>2.46E-2</v>
      </c>
      <c r="E28" s="8">
        <v>298.10000000000002</v>
      </c>
    </row>
    <row r="29" spans="1:16" ht="15.6" x14ac:dyDescent="0.3">
      <c r="A29" s="6">
        <v>2</v>
      </c>
      <c r="B29" s="6" t="s">
        <v>16</v>
      </c>
      <c r="C29" s="6" t="s">
        <v>44</v>
      </c>
      <c r="D29" s="7">
        <v>3.5000000000000001E-3</v>
      </c>
      <c r="E29" s="8">
        <v>107.21</v>
      </c>
    </row>
    <row r="30" spans="1:16" ht="15.6" x14ac:dyDescent="0.3">
      <c r="A30" s="6">
        <v>3</v>
      </c>
      <c r="B30" s="6" t="s">
        <v>15</v>
      </c>
      <c r="C30" s="6" t="s">
        <v>44</v>
      </c>
      <c r="D30" s="7">
        <v>1.1000000000000001E-3</v>
      </c>
      <c r="E30" s="8">
        <v>718.25</v>
      </c>
    </row>
    <row r="31" spans="1:16" ht="15.6" x14ac:dyDescent="0.3">
      <c r="A31" s="6">
        <v>4</v>
      </c>
      <c r="B31" s="6" t="s">
        <v>17</v>
      </c>
      <c r="C31" s="6" t="s">
        <v>44</v>
      </c>
      <c r="D31" s="7">
        <v>2.0000000000000001E-4</v>
      </c>
      <c r="E31" s="8">
        <v>148.22999999999999</v>
      </c>
    </row>
    <row r="32" spans="1:16" ht="15.6" x14ac:dyDescent="0.3">
      <c r="A32" s="14">
        <v>5</v>
      </c>
      <c r="B32" s="14" t="s">
        <v>18</v>
      </c>
      <c r="C32" s="14" t="s">
        <v>44</v>
      </c>
      <c r="D32" s="13">
        <v>-2.3999999999999998E-3</v>
      </c>
      <c r="E32" s="15">
        <v>287.60000000000002</v>
      </c>
    </row>
    <row r="33" spans="1:6" ht="15.6" x14ac:dyDescent="0.3">
      <c r="A33" s="6">
        <v>6</v>
      </c>
      <c r="B33" s="6" t="s">
        <v>19</v>
      </c>
      <c r="C33" s="6" t="s">
        <v>44</v>
      </c>
      <c r="D33" s="7">
        <v>-7.1000000000000004E-3</v>
      </c>
      <c r="E33" s="8">
        <v>330.75</v>
      </c>
    </row>
    <row r="34" spans="1:6" ht="15.6" x14ac:dyDescent="0.3">
      <c r="A34" s="6">
        <v>7</v>
      </c>
      <c r="B34" s="6" t="s">
        <v>20</v>
      </c>
      <c r="C34" s="6" t="s">
        <v>44</v>
      </c>
      <c r="D34" s="7">
        <v>6.4000000000000003E-3</v>
      </c>
      <c r="E34" s="8">
        <v>128.1</v>
      </c>
    </row>
    <row r="35" spans="1:6" ht="15.6" x14ac:dyDescent="0.3">
      <c r="A35" s="6">
        <v>8</v>
      </c>
      <c r="B35" s="6" t="s">
        <v>21</v>
      </c>
      <c r="C35" s="6" t="s">
        <v>44</v>
      </c>
      <c r="D35" s="7">
        <v>5.7000000000000002E-3</v>
      </c>
      <c r="E35" s="8">
        <v>908.6</v>
      </c>
    </row>
    <row r="36" spans="1:6" ht="15.6" x14ac:dyDescent="0.3">
      <c r="A36" s="14">
        <v>9</v>
      </c>
      <c r="B36" s="14" t="s">
        <v>22</v>
      </c>
      <c r="C36" s="14" t="s">
        <v>44</v>
      </c>
      <c r="D36" s="13">
        <v>-1.54E-2</v>
      </c>
      <c r="E36" s="15">
        <v>398.65</v>
      </c>
      <c r="F36" s="16"/>
    </row>
    <row r="37" spans="1:6" ht="15.6" x14ac:dyDescent="0.3">
      <c r="A37" s="14">
        <v>10</v>
      </c>
      <c r="B37" s="14" t="s">
        <v>23</v>
      </c>
      <c r="C37" s="14" t="s">
        <v>44</v>
      </c>
      <c r="D37" s="13">
        <v>-2.69E-2</v>
      </c>
      <c r="E37" s="15">
        <v>120.42</v>
      </c>
    </row>
    <row r="38" spans="1:6" ht="15.6" x14ac:dyDescent="0.3">
      <c r="A38" s="6">
        <v>11</v>
      </c>
      <c r="B38" s="6" t="s">
        <v>24</v>
      </c>
      <c r="C38" s="6" t="s">
        <v>44</v>
      </c>
      <c r="D38" s="7">
        <v>4.7000000000000002E-3</v>
      </c>
      <c r="E38" s="8">
        <v>230.73</v>
      </c>
    </row>
    <row r="39" spans="1:6" ht="15.6" x14ac:dyDescent="0.3">
      <c r="A39" s="6">
        <v>12</v>
      </c>
      <c r="B39" s="6" t="s">
        <v>25</v>
      </c>
      <c r="C39" s="6" t="s">
        <v>44</v>
      </c>
      <c r="D39" s="7">
        <v>8.0000000000000002E-3</v>
      </c>
      <c r="E39" s="8">
        <v>175.1</v>
      </c>
    </row>
    <row r="40" spans="1:6" ht="15.6" x14ac:dyDescent="0.3">
      <c r="A40" s="6">
        <v>13</v>
      </c>
      <c r="B40" s="6" t="s">
        <v>26</v>
      </c>
      <c r="C40" s="6" t="s">
        <v>44</v>
      </c>
      <c r="D40" s="7">
        <v>9.4000000000000004E-3</v>
      </c>
      <c r="E40" s="8">
        <v>344.6</v>
      </c>
    </row>
    <row r="41" spans="1:6" ht="15.6" x14ac:dyDescent="0.3">
      <c r="A41" s="6">
        <v>14</v>
      </c>
      <c r="B41" s="6" t="s">
        <v>27</v>
      </c>
      <c r="C41" s="6" t="s">
        <v>44</v>
      </c>
      <c r="D41" s="7">
        <v>1.8700000000000001E-2</v>
      </c>
      <c r="E41" s="8">
        <v>318.89999999999998</v>
      </c>
    </row>
    <row r="42" spans="1:6" ht="15.6" x14ac:dyDescent="0.3">
      <c r="A42" s="6">
        <v>15</v>
      </c>
      <c r="B42" s="6" t="s">
        <v>28</v>
      </c>
      <c r="C42" s="6" t="s">
        <v>44</v>
      </c>
      <c r="D42" s="7">
        <v>3.7199999999999997E-2</v>
      </c>
      <c r="E42" s="8">
        <v>237.55</v>
      </c>
    </row>
    <row r="43" spans="1:6" ht="15.6" x14ac:dyDescent="0.3">
      <c r="A43" s="14">
        <v>16</v>
      </c>
      <c r="B43" s="14" t="s">
        <v>29</v>
      </c>
      <c r="C43" s="14" t="s">
        <v>44</v>
      </c>
      <c r="D43" s="13">
        <v>-6.7000000000000002E-3</v>
      </c>
      <c r="E43" s="15">
        <v>100.36</v>
      </c>
    </row>
    <row r="44" spans="1:6" ht="15.6" x14ac:dyDescent="0.3">
      <c r="A44" s="6">
        <v>17</v>
      </c>
      <c r="B44" s="6" t="s">
        <v>30</v>
      </c>
      <c r="C44" s="6" t="s">
        <v>44</v>
      </c>
      <c r="D44" s="7">
        <v>1E-3</v>
      </c>
      <c r="E44" s="8">
        <v>195.03</v>
      </c>
    </row>
    <row r="45" spans="1:6" ht="15.6" x14ac:dyDescent="0.3">
      <c r="A45" s="14">
        <v>18</v>
      </c>
      <c r="B45" s="14" t="s">
        <v>31</v>
      </c>
      <c r="C45" s="14" t="s">
        <v>44</v>
      </c>
      <c r="D45" s="13">
        <v>-1.1000000000000001E-3</v>
      </c>
      <c r="E45" s="15">
        <v>319.89999999999998</v>
      </c>
    </row>
    <row r="46" spans="1:6" ht="15.6" x14ac:dyDescent="0.3">
      <c r="A46" s="14">
        <v>19</v>
      </c>
      <c r="B46" s="14" t="s">
        <v>32</v>
      </c>
      <c r="C46" s="14" t="s">
        <v>44</v>
      </c>
      <c r="D46" s="13">
        <v>-8.9999999999999998E-4</v>
      </c>
      <c r="E46" s="15">
        <v>383.6</v>
      </c>
    </row>
    <row r="47" spans="1:6" ht="15.6" x14ac:dyDescent="0.3">
      <c r="A47" s="14">
        <v>20</v>
      </c>
      <c r="B47" s="14" t="s">
        <v>33</v>
      </c>
      <c r="C47" s="14" t="s">
        <v>44</v>
      </c>
      <c r="D47" s="13">
        <v>-2.47E-2</v>
      </c>
      <c r="E47" s="15">
        <v>224.78</v>
      </c>
    </row>
    <row r="48" spans="1:6" ht="15.6" x14ac:dyDescent="0.3">
      <c r="A48" s="6">
        <v>21</v>
      </c>
      <c r="B48" s="6" t="s">
        <v>34</v>
      </c>
      <c r="C48" s="6" t="s">
        <v>44</v>
      </c>
      <c r="D48" s="7">
        <v>1E-3</v>
      </c>
      <c r="E48" s="8">
        <v>383.8</v>
      </c>
    </row>
    <row r="49" spans="1:7" ht="15.6" x14ac:dyDescent="0.3">
      <c r="A49" s="14">
        <v>22</v>
      </c>
      <c r="B49" s="14" t="s">
        <v>35</v>
      </c>
      <c r="C49" s="14" t="s">
        <v>44</v>
      </c>
      <c r="D49" s="13">
        <v>-8.9999999999999998E-4</v>
      </c>
      <c r="E49" s="15">
        <v>553.6</v>
      </c>
    </row>
    <row r="50" spans="1:7" ht="15.6" x14ac:dyDescent="0.3">
      <c r="A50" s="6">
        <v>23</v>
      </c>
      <c r="B50" s="6" t="s">
        <v>38</v>
      </c>
      <c r="C50" s="6" t="s">
        <v>44</v>
      </c>
      <c r="D50" s="7">
        <v>2.6200000000000001E-2</v>
      </c>
      <c r="E50" s="8">
        <v>281.75</v>
      </c>
    </row>
    <row r="52" spans="1:7" ht="18" x14ac:dyDescent="0.35">
      <c r="C52" s="17" t="s">
        <v>58</v>
      </c>
    </row>
    <row r="54" spans="1:7" ht="15.6" x14ac:dyDescent="0.3">
      <c r="A54" s="14">
        <v>1</v>
      </c>
      <c r="B54" s="14" t="s">
        <v>43</v>
      </c>
      <c r="C54" s="14" t="s">
        <v>59</v>
      </c>
      <c r="D54" s="13">
        <v>-2.0299999999999999E-2</v>
      </c>
      <c r="E54" s="15">
        <v>433.9</v>
      </c>
    </row>
    <row r="55" spans="1:7" ht="15.6" x14ac:dyDescent="0.3">
      <c r="A55" s="14">
        <v>2</v>
      </c>
      <c r="B55" s="14" t="s">
        <v>12</v>
      </c>
      <c r="C55" s="14" t="s">
        <v>59</v>
      </c>
      <c r="D55" s="13">
        <v>-7.1999999999999998E-3</v>
      </c>
      <c r="E55" s="15">
        <v>294.55</v>
      </c>
    </row>
    <row r="56" spans="1:7" ht="15.6" x14ac:dyDescent="0.3">
      <c r="A56" s="6">
        <v>3</v>
      </c>
      <c r="B56" s="6" t="s">
        <v>16</v>
      </c>
      <c r="C56" s="6" t="s">
        <v>59</v>
      </c>
      <c r="D56" s="7">
        <v>8.8000000000000005E-3</v>
      </c>
      <c r="E56" s="8">
        <v>108.43</v>
      </c>
    </row>
    <row r="57" spans="1:7" ht="15.6" x14ac:dyDescent="0.3">
      <c r="A57" s="14">
        <v>4</v>
      </c>
      <c r="B57" s="14" t="s">
        <v>15</v>
      </c>
      <c r="C57" s="14" t="s">
        <v>59</v>
      </c>
      <c r="D57" s="13">
        <v>-1.72E-2</v>
      </c>
      <c r="E57" s="15">
        <v>716.45</v>
      </c>
    </row>
    <row r="58" spans="1:7" ht="18.600000000000001" x14ac:dyDescent="0.4">
      <c r="A58" s="14">
        <v>5</v>
      </c>
      <c r="B58" s="14" t="s">
        <v>17</v>
      </c>
      <c r="C58" s="14" t="s">
        <v>59</v>
      </c>
      <c r="D58" s="13">
        <v>-1.0999999999999999E-2</v>
      </c>
      <c r="E58" s="15">
        <v>148.33000000000001</v>
      </c>
      <c r="G58" s="26" t="s">
        <v>61</v>
      </c>
    </row>
    <row r="59" spans="1:7" ht="15.6" x14ac:dyDescent="0.3">
      <c r="A59" s="6">
        <v>6</v>
      </c>
      <c r="B59" s="14" t="s">
        <v>18</v>
      </c>
      <c r="C59" s="6" t="s">
        <v>59</v>
      </c>
      <c r="D59" s="13">
        <v>-3.3E-3</v>
      </c>
      <c r="E59" s="15">
        <v>286.45</v>
      </c>
    </row>
    <row r="60" spans="1:7" ht="18.600000000000001" x14ac:dyDescent="0.4">
      <c r="A60" s="6">
        <v>7</v>
      </c>
      <c r="B60" s="6" t="s">
        <v>19</v>
      </c>
      <c r="C60" s="6" t="s">
        <v>59</v>
      </c>
      <c r="D60" s="7">
        <v>8.0999999999999996E-3</v>
      </c>
      <c r="E60" s="8">
        <v>335.05</v>
      </c>
      <c r="G60" s="27" t="s">
        <v>60</v>
      </c>
    </row>
    <row r="61" spans="1:7" ht="15.6" x14ac:dyDescent="0.3">
      <c r="A61" s="14">
        <v>8</v>
      </c>
      <c r="B61" s="14" t="s">
        <v>20</v>
      </c>
      <c r="C61" s="14" t="s">
        <v>59</v>
      </c>
      <c r="D61" s="13">
        <v>-6.4999999999999997E-3</v>
      </c>
      <c r="E61" s="15">
        <v>126.72</v>
      </c>
    </row>
    <row r="62" spans="1:7" ht="15.6" x14ac:dyDescent="0.3">
      <c r="A62" s="6">
        <v>9</v>
      </c>
      <c r="B62" s="6" t="s">
        <v>21</v>
      </c>
      <c r="C62" s="6" t="s">
        <v>59</v>
      </c>
      <c r="D62" s="7">
        <v>5.7000000000000002E-3</v>
      </c>
      <c r="E62" s="8">
        <v>918.1</v>
      </c>
    </row>
    <row r="63" spans="1:7" ht="15.6" x14ac:dyDescent="0.3">
      <c r="A63" s="22">
        <v>10</v>
      </c>
      <c r="B63" s="22" t="s">
        <v>22</v>
      </c>
      <c r="C63" s="22" t="s">
        <v>59</v>
      </c>
      <c r="D63" s="23">
        <v>8.2000000000000007E-3</v>
      </c>
      <c r="E63" s="24">
        <v>415.45</v>
      </c>
    </row>
    <row r="64" spans="1:7" ht="15.6" x14ac:dyDescent="0.3">
      <c r="A64" s="22">
        <v>11</v>
      </c>
      <c r="B64" s="22" t="s">
        <v>23</v>
      </c>
      <c r="C64" s="22" t="s">
        <v>59</v>
      </c>
      <c r="D64" s="23">
        <v>2.0999999999999999E-3</v>
      </c>
      <c r="E64" s="24">
        <v>122.38</v>
      </c>
    </row>
    <row r="65" spans="1:6" ht="15.6" x14ac:dyDescent="0.3">
      <c r="A65" s="6">
        <v>12</v>
      </c>
      <c r="B65" s="6" t="s">
        <v>24</v>
      </c>
      <c r="C65" s="6" t="s">
        <v>59</v>
      </c>
      <c r="D65" s="7">
        <v>6.1999999999999998E-3</v>
      </c>
      <c r="E65" s="8">
        <v>231.81</v>
      </c>
    </row>
    <row r="66" spans="1:6" ht="15.6" x14ac:dyDescent="0.3">
      <c r="A66" s="14">
        <v>13</v>
      </c>
      <c r="B66" s="14" t="s">
        <v>25</v>
      </c>
      <c r="C66" s="14" t="s">
        <v>59</v>
      </c>
      <c r="D66" s="13">
        <v>-1.14E-2</v>
      </c>
      <c r="E66" s="15">
        <v>172.3</v>
      </c>
    </row>
    <row r="67" spans="1:6" ht="15.6" x14ac:dyDescent="0.3">
      <c r="A67" s="14">
        <v>14</v>
      </c>
      <c r="B67" s="14" t="s">
        <v>26</v>
      </c>
      <c r="C67" s="14" t="s">
        <v>59</v>
      </c>
      <c r="D67" s="13">
        <v>-1.44E-2</v>
      </c>
      <c r="E67" s="15">
        <v>338.55</v>
      </c>
    </row>
    <row r="68" spans="1:6" ht="15.6" x14ac:dyDescent="0.3">
      <c r="A68" s="14">
        <v>15</v>
      </c>
      <c r="B68" s="14" t="s">
        <v>27</v>
      </c>
      <c r="C68" s="14" t="s">
        <v>59</v>
      </c>
      <c r="D68" s="13">
        <v>-1.84E-2</v>
      </c>
      <c r="E68" s="15">
        <v>317</v>
      </c>
    </row>
    <row r="69" spans="1:6" ht="15.6" x14ac:dyDescent="0.3">
      <c r="A69" s="14">
        <v>16</v>
      </c>
      <c r="B69" s="14" t="s">
        <v>28</v>
      </c>
      <c r="C69" s="14" t="s">
        <v>59</v>
      </c>
      <c r="D69" s="13">
        <v>-8.8000000000000005E-3</v>
      </c>
      <c r="E69" s="15">
        <v>224.79</v>
      </c>
    </row>
    <row r="70" spans="1:6" ht="15.6" x14ac:dyDescent="0.3">
      <c r="A70" s="6">
        <v>17</v>
      </c>
      <c r="B70" s="6" t="s">
        <v>29</v>
      </c>
      <c r="C70" s="6" t="s">
        <v>59</v>
      </c>
      <c r="D70" s="7">
        <v>7.4000000000000003E-3</v>
      </c>
      <c r="E70" s="8">
        <v>102.73</v>
      </c>
      <c r="F70" s="25"/>
    </row>
    <row r="71" spans="1:6" ht="15.6" x14ac:dyDescent="0.3">
      <c r="A71" s="6">
        <v>18</v>
      </c>
      <c r="B71" s="6" t="s">
        <v>30</v>
      </c>
      <c r="C71" s="6" t="s">
        <v>59</v>
      </c>
      <c r="D71" s="7">
        <v>2.5399999999999999E-2</v>
      </c>
      <c r="E71" s="8">
        <v>199.45</v>
      </c>
      <c r="F71" s="25"/>
    </row>
    <row r="72" spans="1:6" ht="15.6" x14ac:dyDescent="0.3">
      <c r="A72" s="14">
        <v>19</v>
      </c>
      <c r="B72" s="14" t="s">
        <v>31</v>
      </c>
      <c r="C72" s="14" t="s">
        <v>59</v>
      </c>
      <c r="D72" s="13">
        <v>-4.4999999999999997E-3</v>
      </c>
      <c r="E72" s="15">
        <v>316.85000000000002</v>
      </c>
    </row>
    <row r="73" spans="1:6" ht="15.6" x14ac:dyDescent="0.3">
      <c r="A73" s="6">
        <v>20</v>
      </c>
      <c r="B73" s="6" t="s">
        <v>32</v>
      </c>
      <c r="C73" s="6" t="s">
        <v>59</v>
      </c>
      <c r="D73" s="7">
        <v>8.8000000000000005E-3</v>
      </c>
      <c r="E73" s="8">
        <v>383.85</v>
      </c>
      <c r="F73" s="25"/>
    </row>
    <row r="74" spans="1:6" ht="15.6" x14ac:dyDescent="0.3">
      <c r="A74" s="14">
        <v>21</v>
      </c>
      <c r="B74" s="14" t="s">
        <v>33</v>
      </c>
      <c r="C74" s="6" t="s">
        <v>59</v>
      </c>
      <c r="D74" s="13">
        <v>-1.01E-2</v>
      </c>
      <c r="E74" s="15">
        <v>221.33</v>
      </c>
    </row>
    <row r="75" spans="1:6" ht="15.6" x14ac:dyDescent="0.3">
      <c r="A75" s="6">
        <v>22</v>
      </c>
      <c r="B75" s="6" t="s">
        <v>34</v>
      </c>
      <c r="C75" s="6" t="s">
        <v>59</v>
      </c>
      <c r="D75" s="7">
        <v>2.2000000000000001E-3</v>
      </c>
      <c r="E75" s="8">
        <v>385.4</v>
      </c>
    </row>
    <row r="76" spans="1:6" ht="15.6" x14ac:dyDescent="0.3">
      <c r="A76" s="14">
        <v>23</v>
      </c>
      <c r="B76" s="14" t="s">
        <v>35</v>
      </c>
      <c r="C76" s="6" t="s">
        <v>59</v>
      </c>
      <c r="D76" s="13">
        <v>-9.7999999999999997E-3</v>
      </c>
      <c r="E76" s="15">
        <v>562.75</v>
      </c>
    </row>
    <row r="77" spans="1:6" ht="15.6" x14ac:dyDescent="0.3">
      <c r="A77" s="6">
        <v>24</v>
      </c>
      <c r="B77" s="6" t="s">
        <v>38</v>
      </c>
      <c r="C77" s="6" t="s">
        <v>59</v>
      </c>
      <c r="D77" s="7">
        <v>3.4200000000000001E-2</v>
      </c>
      <c r="E77" s="8">
        <v>291.39999999999998</v>
      </c>
    </row>
  </sheetData>
  <mergeCells count="1">
    <mergeCell ref="L17:P18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C51B4-EF81-48D8-9740-E7F22ED889C6}">
  <dimension ref="B2:O15"/>
  <sheetViews>
    <sheetView workbookViewId="0">
      <pane ySplit="1" topLeftCell="A2" activePane="bottomLeft" state="frozen"/>
      <selection pane="bottomLeft" activeCell="I13" sqref="I13"/>
    </sheetView>
  </sheetViews>
  <sheetFormatPr defaultRowHeight="14.4" x14ac:dyDescent="0.3"/>
  <cols>
    <col min="4" max="4" width="24.5546875" customWidth="1"/>
    <col min="5" max="5" width="18.44140625" customWidth="1"/>
    <col min="6" max="6" width="20.5546875" customWidth="1"/>
    <col min="7" max="7" width="17" customWidth="1"/>
    <col min="8" max="8" width="21.21875" customWidth="1"/>
    <col min="9" max="9" width="18.21875" customWidth="1"/>
    <col min="10" max="10" width="21.6640625" customWidth="1"/>
    <col min="11" max="11" width="17.5546875" customWidth="1"/>
    <col min="12" max="12" width="18.109375" customWidth="1"/>
    <col min="13" max="13" width="17.21875" customWidth="1"/>
    <col min="14" max="14" width="12.77734375" customWidth="1"/>
  </cols>
  <sheetData>
    <row r="2" spans="2:15" ht="14.4" customHeight="1" x14ac:dyDescent="0.3">
      <c r="D2" s="33" t="s">
        <v>65</v>
      </c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</row>
    <row r="3" spans="2:15" ht="14.4" customHeight="1" x14ac:dyDescent="0.3"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</row>
    <row r="4" spans="2:15" ht="14.4" customHeight="1" x14ac:dyDescent="0.3"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</row>
    <row r="7" spans="2:15" ht="18.600000000000001" x14ac:dyDescent="0.4">
      <c r="C7" s="2" t="s">
        <v>0</v>
      </c>
      <c r="D7" s="2" t="s">
        <v>1</v>
      </c>
      <c r="E7" s="2" t="s">
        <v>2</v>
      </c>
      <c r="F7" s="2" t="s">
        <v>48</v>
      </c>
      <c r="G7" s="2" t="s">
        <v>47</v>
      </c>
      <c r="H7" s="2" t="s">
        <v>3</v>
      </c>
      <c r="I7" s="2" t="s">
        <v>4</v>
      </c>
      <c r="J7" s="2" t="s">
        <v>5</v>
      </c>
      <c r="K7" s="2" t="s">
        <v>9</v>
      </c>
    </row>
    <row r="9" spans="2:15" ht="18.600000000000001" x14ac:dyDescent="0.4">
      <c r="C9" s="28">
        <v>1</v>
      </c>
      <c r="D9" s="28" t="s">
        <v>55</v>
      </c>
      <c r="E9" s="28">
        <v>20</v>
      </c>
      <c r="F9" s="28" t="s">
        <v>64</v>
      </c>
      <c r="G9" s="20" t="s">
        <v>8</v>
      </c>
      <c r="H9" s="28">
        <v>406.34</v>
      </c>
      <c r="I9" s="20">
        <v>0</v>
      </c>
      <c r="J9" s="20">
        <v>0</v>
      </c>
      <c r="K9" s="20">
        <v>0</v>
      </c>
    </row>
    <row r="10" spans="2:15" x14ac:dyDescent="0.3">
      <c r="C10" s="25"/>
      <c r="D10" s="25"/>
      <c r="E10" s="25"/>
      <c r="F10" s="25"/>
      <c r="G10" s="21"/>
      <c r="H10" s="25"/>
      <c r="I10" s="21"/>
      <c r="J10" s="21"/>
      <c r="K10" s="21"/>
    </row>
    <row r="11" spans="2:15" ht="18.600000000000001" x14ac:dyDescent="0.4">
      <c r="C11" s="28">
        <v>2</v>
      </c>
      <c r="D11" s="28" t="s">
        <v>56</v>
      </c>
      <c r="E11" s="28">
        <v>35</v>
      </c>
      <c r="F11" s="28" t="s">
        <v>64</v>
      </c>
      <c r="G11" s="20" t="s">
        <v>8</v>
      </c>
      <c r="H11" s="29">
        <v>267.60000000000002</v>
      </c>
      <c r="I11" s="20">
        <v>0</v>
      </c>
      <c r="J11" s="20">
        <v>0</v>
      </c>
      <c r="K11" s="20">
        <v>0</v>
      </c>
    </row>
    <row r="12" spans="2:15" ht="18" x14ac:dyDescent="0.35">
      <c r="B12" s="5"/>
      <c r="C12" s="25"/>
      <c r="D12" s="25"/>
      <c r="E12" s="25"/>
      <c r="F12" s="25"/>
      <c r="G12" s="21"/>
      <c r="H12" s="25"/>
      <c r="I12" s="21"/>
      <c r="J12" s="21"/>
      <c r="K12" s="21"/>
    </row>
    <row r="13" spans="2:15" ht="18.600000000000001" x14ac:dyDescent="0.4">
      <c r="B13" s="4"/>
      <c r="C13" s="28">
        <v>3</v>
      </c>
      <c r="D13" s="28" t="s">
        <v>57</v>
      </c>
      <c r="E13" s="28">
        <v>75</v>
      </c>
      <c r="F13" s="28" t="s">
        <v>54</v>
      </c>
      <c r="G13" s="20"/>
      <c r="H13" s="28">
        <v>80.03</v>
      </c>
      <c r="I13" s="20">
        <v>0</v>
      </c>
      <c r="J13" s="20">
        <v>0</v>
      </c>
      <c r="K13" s="20">
        <v>0</v>
      </c>
    </row>
    <row r="14" spans="2:15" ht="18" x14ac:dyDescent="0.35">
      <c r="B14" s="4"/>
      <c r="C14" s="4"/>
      <c r="D14" s="4"/>
      <c r="E14" s="4"/>
    </row>
    <row r="15" spans="2:15" ht="18" x14ac:dyDescent="0.35">
      <c r="B15" s="4"/>
      <c r="C15" s="4"/>
      <c r="D15" s="4"/>
      <c r="E15" s="4"/>
    </row>
  </sheetData>
  <mergeCells count="1">
    <mergeCell ref="D2:O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35F16-F9F6-433B-853A-5BF555F896D7}">
  <dimension ref="F2:I44"/>
  <sheetViews>
    <sheetView tabSelected="1" workbookViewId="0">
      <selection activeCell="G9" sqref="G9"/>
    </sheetView>
  </sheetViews>
  <sheetFormatPr defaultRowHeight="14.4" x14ac:dyDescent="0.3"/>
  <cols>
    <col min="7" max="7" width="20.33203125" customWidth="1"/>
    <col min="8" max="8" width="26.77734375" customWidth="1"/>
    <col min="9" max="9" width="19.33203125" customWidth="1"/>
  </cols>
  <sheetData>
    <row r="2" spans="6:9" x14ac:dyDescent="0.3">
      <c r="G2" s="34" t="s">
        <v>42</v>
      </c>
      <c r="H2" s="35"/>
      <c r="I2" s="35"/>
    </row>
    <row r="3" spans="6:9" x14ac:dyDescent="0.3">
      <c r="G3" s="35"/>
      <c r="H3" s="35"/>
      <c r="I3" s="35"/>
    </row>
    <row r="4" spans="6:9" x14ac:dyDescent="0.3">
      <c r="G4" s="35"/>
      <c r="H4" s="35"/>
      <c r="I4" s="35"/>
    </row>
    <row r="6" spans="6:9" ht="21" x14ac:dyDescent="0.4">
      <c r="F6" s="37" t="s">
        <v>37</v>
      </c>
      <c r="G6" s="37" t="s">
        <v>36</v>
      </c>
      <c r="H6" s="37" t="s">
        <v>40</v>
      </c>
      <c r="I6" s="38" t="s">
        <v>53</v>
      </c>
    </row>
    <row r="8" spans="6:9" ht="22.8" x14ac:dyDescent="0.4">
      <c r="F8" s="39">
        <v>1</v>
      </c>
      <c r="G8" s="39" t="s">
        <v>68</v>
      </c>
      <c r="H8" s="39">
        <v>70</v>
      </c>
      <c r="I8" s="36"/>
    </row>
    <row r="9" spans="6:9" ht="22.8" x14ac:dyDescent="0.4">
      <c r="F9" s="40">
        <v>2</v>
      </c>
      <c r="G9" s="40" t="s">
        <v>70</v>
      </c>
      <c r="H9" s="40">
        <v>90</v>
      </c>
      <c r="I9" s="18"/>
    </row>
    <row r="10" spans="6:9" ht="18.600000000000001" x14ac:dyDescent="0.4">
      <c r="F10" s="11"/>
      <c r="G10" s="11"/>
      <c r="H10" s="11"/>
      <c r="I10" s="18"/>
    </row>
    <row r="11" spans="6:9" ht="21.6" x14ac:dyDescent="0.45">
      <c r="F11" s="11"/>
      <c r="G11" s="11"/>
      <c r="H11" s="11"/>
      <c r="I11" s="10"/>
    </row>
    <row r="12" spans="6:9" ht="21.6" x14ac:dyDescent="0.45">
      <c r="F12" s="10"/>
      <c r="G12" s="10"/>
      <c r="H12" s="10"/>
      <c r="I12" s="10"/>
    </row>
    <row r="13" spans="6:9" ht="21.6" x14ac:dyDescent="0.45">
      <c r="F13" s="10"/>
      <c r="G13" s="10"/>
      <c r="H13" s="10"/>
      <c r="I13" s="10"/>
    </row>
    <row r="14" spans="6:9" ht="21.6" x14ac:dyDescent="0.45">
      <c r="F14" s="10"/>
      <c r="G14" s="10"/>
      <c r="H14" s="10"/>
      <c r="I14" s="10"/>
    </row>
    <row r="15" spans="6:9" ht="21.6" x14ac:dyDescent="0.45">
      <c r="F15" s="10"/>
      <c r="G15" s="10"/>
      <c r="H15" s="10"/>
      <c r="I15" s="10"/>
    </row>
    <row r="16" spans="6:9" ht="21.6" x14ac:dyDescent="0.45">
      <c r="F16" s="10"/>
      <c r="G16" s="10"/>
      <c r="H16" s="10"/>
      <c r="I16" s="10"/>
    </row>
    <row r="17" spans="6:9" ht="21.6" x14ac:dyDescent="0.45">
      <c r="F17" s="10"/>
      <c r="G17" s="10"/>
      <c r="H17" s="10"/>
      <c r="I17" s="10"/>
    </row>
    <row r="18" spans="6:9" ht="21.6" x14ac:dyDescent="0.45">
      <c r="F18" s="10"/>
      <c r="G18" s="10"/>
      <c r="H18" s="10"/>
      <c r="I18" s="10"/>
    </row>
    <row r="19" spans="6:9" ht="21.6" x14ac:dyDescent="0.45">
      <c r="F19" s="10"/>
      <c r="G19" s="10"/>
      <c r="H19" s="10"/>
      <c r="I19" s="10"/>
    </row>
    <row r="20" spans="6:9" ht="21.6" x14ac:dyDescent="0.45">
      <c r="F20" s="10"/>
      <c r="G20" s="10"/>
      <c r="H20" s="10"/>
      <c r="I20" s="10"/>
    </row>
    <row r="21" spans="6:9" ht="21.6" x14ac:dyDescent="0.45">
      <c r="F21" s="10"/>
      <c r="G21" s="10"/>
      <c r="H21" s="10"/>
      <c r="I21" s="10"/>
    </row>
    <row r="22" spans="6:9" ht="21.6" x14ac:dyDescent="0.45">
      <c r="F22" s="10"/>
      <c r="G22" s="10"/>
      <c r="H22" s="10"/>
      <c r="I22" s="10"/>
    </row>
    <row r="23" spans="6:9" ht="21.6" x14ac:dyDescent="0.45">
      <c r="F23" s="10"/>
      <c r="G23" s="10"/>
      <c r="H23" s="10"/>
      <c r="I23" s="10"/>
    </row>
    <row r="24" spans="6:9" ht="21.6" x14ac:dyDescent="0.45">
      <c r="F24" s="10"/>
      <c r="G24" s="10"/>
      <c r="H24" s="10"/>
      <c r="I24" s="10"/>
    </row>
    <row r="25" spans="6:9" ht="21.6" x14ac:dyDescent="0.45">
      <c r="F25" s="10"/>
      <c r="G25" s="10"/>
      <c r="H25" s="10"/>
      <c r="I25" s="10"/>
    </row>
    <row r="26" spans="6:9" ht="21.6" x14ac:dyDescent="0.45">
      <c r="F26" s="10"/>
      <c r="G26" s="10"/>
      <c r="H26" s="10"/>
      <c r="I26" s="10"/>
    </row>
    <row r="27" spans="6:9" ht="21.6" x14ac:dyDescent="0.45">
      <c r="F27" s="10"/>
      <c r="G27" s="10"/>
      <c r="H27" s="10"/>
      <c r="I27" s="10"/>
    </row>
    <row r="28" spans="6:9" ht="21.6" x14ac:dyDescent="0.45">
      <c r="F28" s="10"/>
      <c r="G28" s="10"/>
      <c r="H28" s="10"/>
      <c r="I28" s="10"/>
    </row>
    <row r="29" spans="6:9" ht="21.6" x14ac:dyDescent="0.45">
      <c r="F29" s="10"/>
      <c r="G29" s="10"/>
      <c r="H29" s="10"/>
      <c r="I29" s="10"/>
    </row>
    <row r="30" spans="6:9" ht="21.6" x14ac:dyDescent="0.45">
      <c r="F30" s="10"/>
      <c r="G30" s="10"/>
      <c r="H30" s="10"/>
      <c r="I30" s="10"/>
    </row>
    <row r="31" spans="6:9" ht="21.6" x14ac:dyDescent="0.45">
      <c r="F31" s="10"/>
      <c r="G31" s="10"/>
      <c r="H31" s="10"/>
      <c r="I31" s="10"/>
    </row>
    <row r="32" spans="6:9" ht="21.6" x14ac:dyDescent="0.45">
      <c r="F32" s="10"/>
      <c r="G32" s="10"/>
      <c r="H32" s="10"/>
      <c r="I32" s="10"/>
    </row>
    <row r="33" spans="6:9" ht="21.6" x14ac:dyDescent="0.45">
      <c r="F33" s="10"/>
      <c r="G33" s="10"/>
      <c r="H33" s="10"/>
      <c r="I33" s="10"/>
    </row>
    <row r="34" spans="6:9" ht="21.6" x14ac:dyDescent="0.45">
      <c r="F34" s="10"/>
      <c r="G34" s="10"/>
      <c r="H34" s="10"/>
      <c r="I34" s="10"/>
    </row>
    <row r="35" spans="6:9" ht="21.6" x14ac:dyDescent="0.45">
      <c r="F35" s="10"/>
      <c r="G35" s="10"/>
      <c r="H35" s="10"/>
      <c r="I35" s="10"/>
    </row>
    <row r="36" spans="6:9" ht="21.6" x14ac:dyDescent="0.45">
      <c r="F36" s="10"/>
      <c r="G36" s="10"/>
      <c r="H36" s="10"/>
      <c r="I36" s="10"/>
    </row>
    <row r="37" spans="6:9" ht="21.6" x14ac:dyDescent="0.45">
      <c r="F37" s="10"/>
      <c r="G37" s="10"/>
      <c r="H37" s="10"/>
      <c r="I37" s="10"/>
    </row>
    <row r="38" spans="6:9" ht="21.6" x14ac:dyDescent="0.45">
      <c r="F38" s="10"/>
      <c r="G38" s="10"/>
      <c r="H38" s="10"/>
      <c r="I38" s="10"/>
    </row>
    <row r="39" spans="6:9" ht="21.6" x14ac:dyDescent="0.45">
      <c r="F39" s="10"/>
      <c r="G39" s="10"/>
      <c r="H39" s="10"/>
      <c r="I39" s="10"/>
    </row>
    <row r="40" spans="6:9" ht="21.6" x14ac:dyDescent="0.45">
      <c r="F40" s="10"/>
      <c r="G40" s="10"/>
      <c r="H40" s="10"/>
      <c r="I40" s="10"/>
    </row>
    <row r="41" spans="6:9" ht="21.6" x14ac:dyDescent="0.45">
      <c r="F41" s="10"/>
      <c r="G41" s="10"/>
      <c r="H41" s="10"/>
      <c r="I41" s="10"/>
    </row>
    <row r="42" spans="6:9" ht="21.6" x14ac:dyDescent="0.45">
      <c r="F42" s="10"/>
      <c r="G42" s="10"/>
      <c r="H42" s="10"/>
      <c r="I42" s="10"/>
    </row>
    <row r="43" spans="6:9" ht="21.6" x14ac:dyDescent="0.45">
      <c r="F43" s="10"/>
      <c r="G43" s="10"/>
      <c r="H43" s="10"/>
      <c r="I43" s="10"/>
    </row>
    <row r="44" spans="6:9" ht="21.6" x14ac:dyDescent="0.45">
      <c r="F44" s="10"/>
      <c r="G44" s="10"/>
      <c r="H44" s="10"/>
      <c r="I44" s="10"/>
    </row>
  </sheetData>
  <mergeCells count="1">
    <mergeCell ref="G2:I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SwingTrade</vt:lpstr>
      <vt:lpstr>Stock Movement</vt:lpstr>
      <vt:lpstr>Stock Investment</vt:lpstr>
      <vt:lpstr>Intraday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2025-05-22T11:14:26Z</dcterms:created>
  <dcterms:modified xsi:type="dcterms:W3CDTF">2025-12-25T08:58:09Z</dcterms:modified>
</cp:coreProperties>
</file>